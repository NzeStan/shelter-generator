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nama\Desktop\WIND_LOAD\"/>
    </mc:Choice>
  </mc:AlternateContent>
  <xr:revisionPtr revIDLastSave="0" documentId="13_ncr:1_{F2A61615-9749-459B-993D-19C4BE6CCDBE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Input" sheetId="1" r:id="rId1"/>
    <sheet name="Resul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H13" i="2"/>
  <c r="G13" i="2"/>
  <c r="F13" i="2"/>
  <c r="D13" i="2"/>
  <c r="C13" i="2"/>
  <c r="B13" i="2"/>
  <c r="A13" i="2"/>
  <c r="I12" i="2"/>
  <c r="H12" i="2"/>
  <c r="G12" i="2"/>
  <c r="F12" i="2"/>
  <c r="D12" i="2"/>
  <c r="C12" i="2"/>
  <c r="B12" i="2"/>
  <c r="A12" i="2"/>
  <c r="I11" i="2"/>
  <c r="H11" i="2"/>
  <c r="G11" i="2"/>
  <c r="F11" i="2"/>
  <c r="D11" i="2"/>
  <c r="C11" i="2"/>
  <c r="B11" i="2"/>
  <c r="A11" i="2"/>
  <c r="I10" i="2"/>
  <c r="H10" i="2"/>
  <c r="G10" i="2"/>
  <c r="F10" i="2"/>
  <c r="D10" i="2"/>
  <c r="C10" i="2"/>
  <c r="B10" i="2"/>
  <c r="A10" i="2"/>
  <c r="I9" i="2"/>
  <c r="H9" i="2"/>
  <c r="G9" i="2"/>
  <c r="F9" i="2"/>
  <c r="D9" i="2"/>
  <c r="C9" i="2"/>
  <c r="B9" i="2"/>
  <c r="A9" i="2"/>
  <c r="I8" i="2"/>
  <c r="H8" i="2"/>
  <c r="G8" i="2"/>
  <c r="F8" i="2"/>
  <c r="D8" i="2"/>
  <c r="C8" i="2"/>
  <c r="B8" i="2"/>
  <c r="A8" i="2"/>
  <c r="I7" i="2"/>
  <c r="H7" i="2"/>
  <c r="G7" i="2"/>
  <c r="F7" i="2"/>
  <c r="D7" i="2"/>
  <c r="C7" i="2"/>
  <c r="B7" i="2"/>
  <c r="A7" i="2"/>
  <c r="I6" i="2"/>
  <c r="H6" i="2"/>
  <c r="G6" i="2"/>
  <c r="F6" i="2"/>
  <c r="D6" i="2"/>
  <c r="C6" i="2"/>
  <c r="B6" i="2"/>
  <c r="A6" i="2"/>
  <c r="I5" i="2"/>
  <c r="H5" i="2"/>
  <c r="G5" i="2"/>
  <c r="F5" i="2"/>
  <c r="D5" i="2"/>
  <c r="C5" i="2"/>
  <c r="B5" i="2"/>
  <c r="A5" i="2"/>
  <c r="I4" i="2"/>
  <c r="H4" i="2"/>
  <c r="G4" i="2"/>
  <c r="F4" i="2"/>
  <c r="D4" i="2"/>
  <c r="C4" i="2"/>
  <c r="B4" i="2"/>
  <c r="A4" i="2"/>
</calcChain>
</file>

<file path=xl/sharedStrings.xml><?xml version="1.0" encoding="utf-8"?>
<sst xmlns="http://schemas.openxmlformats.org/spreadsheetml/2006/main" count="21" uniqueCount="17">
  <si>
    <t xml:space="preserve">  WIND LOAD — X FACE LEDGER MEMBER LOAD CALCULATOR</t>
  </si>
  <si>
    <t xml:space="preserve">  BS EN 1991-1-4  |  Tributary Height Method  |  X Face (gable end)  |  Up to 10 lifts  |  Flat/symmetric: enter same heights in both columns</t>
  </si>
  <si>
    <t>INSTRUCTIONS:  Enter lift heights in the BLUE cell(s) — each value is the SPACE between consecutive ledgers (bottom up). Lift 1 = floor to kicker. Lift 2 = kicker to L2, etc. Leave unused rows blank. n lifts = n ledger loads. Kicker (L1) carries half the space below (lift 1) + half above (lift 2).</t>
  </si>
  <si>
    <t xml:space="preserve">    WIND LOAD — X FACE LEDGER MEMBER LOAD CALCULATOR</t>
  </si>
  <si>
    <t>BS EN 1991-1-4</t>
  </si>
  <si>
    <t>Design wind pressure   qw   (kN/m²)</t>
  </si>
  <si>
    <t>kN/m²</t>
  </si>
  <si>
    <t>Lift No.</t>
  </si>
  <si>
    <t>Windward Height (m)</t>
  </si>
  <si>
    <t>Leeward Height (m)</t>
  </si>
  <si>
    <t xml:space="preserve">  WIND LOAD RESULTS — X FACE LEDGER MEMBER LOADS  (Windward &amp; Leeward)</t>
  </si>
  <si>
    <t xml:space="preserve">  WINDWARD FACE — X FACE LEDGER MEMBER LOADS</t>
  </si>
  <si>
    <t xml:space="preserve">  LEEWARD FACE — X FACE LEDGER MEMBER LOADS</t>
  </si>
  <si>
    <t>Ledger</t>
  </si>
  <si>
    <t>Tributary Height  (m)</t>
  </si>
  <si>
    <t>Wind Pressure  (kN/m²)</t>
  </si>
  <si>
    <t>Member Load  (kN/m)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</si>
</sst>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9"/>
      <color rgb="FFA8C4E8"/>
      <name val="Calibri"/>
      <family val="2"/>
    </font>
    <font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1"/>
      <color rgb="FF595959"/>
      <name val="Calibri"/>
      <family val="2"/>
    </font>
    <font>
      <sz val="11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rgb="FF006600"/>
      <name val="Calibri"/>
      <family val="2"/>
    </font>
    <font>
      <b/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9E6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7A8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8F4F8"/>
      </patternFill>
    </fill>
    <fill>
      <patternFill patternType="solid">
        <fgColor rgb="FFD5EEF5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D9EDF2"/>
      </patternFill>
    </fill>
    <fill>
      <patternFill patternType="solid">
        <fgColor rgb="FFB3DDE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0" fillId="5" borderId="0" xfId="0" applyFill="1"/>
    <xf numFmtId="0" fontId="9" fillId="5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4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G16" sqref="G16"/>
    </sheetView>
  </sheetViews>
  <sheetFormatPr defaultRowHeight="14.4" x14ac:dyDescent="0.3"/>
  <cols>
    <col min="1" max="1" width="20" customWidth="1"/>
    <col min="2" max="2" width="46" customWidth="1"/>
    <col min="3" max="4" width="16" customWidth="1"/>
    <col min="5" max="5" width="9" customWidth="1"/>
  </cols>
  <sheetData>
    <row r="1" spans="1:5" ht="31.5" customHeight="1" x14ac:dyDescent="0.3">
      <c r="A1" s="22" t="s">
        <v>0</v>
      </c>
      <c r="B1" s="23"/>
      <c r="C1" s="23"/>
      <c r="D1" s="23"/>
      <c r="E1" s="23"/>
    </row>
    <row r="2" spans="1:5" ht="15.75" customHeight="1" x14ac:dyDescent="0.3">
      <c r="A2" s="28" t="s">
        <v>1</v>
      </c>
      <c r="B2" s="23"/>
      <c r="C2" s="23"/>
      <c r="D2" s="23"/>
      <c r="E2" s="23"/>
    </row>
    <row r="3" spans="1:5" ht="6" customHeight="1" x14ac:dyDescent="0.3"/>
    <row r="4" spans="1:5" ht="42" customHeight="1" x14ac:dyDescent="0.3">
      <c r="A4" s="26" t="s">
        <v>2</v>
      </c>
      <c r="B4" s="23"/>
      <c r="C4" s="23"/>
      <c r="D4" s="23"/>
      <c r="E4" s="23"/>
    </row>
    <row r="5" spans="1:5" ht="6" customHeight="1" x14ac:dyDescent="0.3"/>
    <row r="6" spans="1:5" ht="21.75" customHeight="1" x14ac:dyDescent="0.3">
      <c r="A6" s="25" t="s">
        <v>3</v>
      </c>
      <c r="B6" s="23"/>
      <c r="C6" s="23"/>
      <c r="D6" s="23"/>
      <c r="E6" s="23"/>
    </row>
    <row r="7" spans="1:5" ht="18" customHeight="1" x14ac:dyDescent="0.3">
      <c r="A7" s="1" t="s">
        <v>4</v>
      </c>
      <c r="B7" s="2" t="s">
        <v>5</v>
      </c>
      <c r="C7" s="27">
        <v>1.1759999999999999</v>
      </c>
      <c r="D7" s="23"/>
      <c r="E7" s="2" t="s">
        <v>6</v>
      </c>
    </row>
    <row r="8" spans="1:5" ht="18" customHeight="1" x14ac:dyDescent="0.3">
      <c r="A8" s="4"/>
      <c r="B8" s="4" t="s">
        <v>7</v>
      </c>
      <c r="C8" s="4" t="s">
        <v>8</v>
      </c>
      <c r="D8" s="5" t="s">
        <v>9</v>
      </c>
      <c r="E8" s="4"/>
    </row>
    <row r="9" spans="1:5" ht="16.5" customHeight="1" x14ac:dyDescent="0.3">
      <c r="A9" s="6"/>
      <c r="B9" s="6">
        <v>1</v>
      </c>
      <c r="C9" s="3">
        <v>0.3</v>
      </c>
      <c r="D9" s="7">
        <v>0.3</v>
      </c>
      <c r="E9" s="8"/>
    </row>
    <row r="10" spans="1:5" ht="16.5" customHeight="1" x14ac:dyDescent="0.3">
      <c r="A10" s="9"/>
      <c r="B10" s="9">
        <v>2</v>
      </c>
      <c r="C10" s="3">
        <v>0.55100000000000005</v>
      </c>
      <c r="D10" s="7">
        <v>0.55100000000000005</v>
      </c>
      <c r="E10" s="10"/>
    </row>
    <row r="11" spans="1:5" ht="16.5" customHeight="1" x14ac:dyDescent="0.3">
      <c r="A11" s="6"/>
      <c r="B11" s="6">
        <v>3</v>
      </c>
      <c r="C11" s="3">
        <v>0.45</v>
      </c>
      <c r="D11" s="7">
        <v>0.45</v>
      </c>
      <c r="E11" s="8"/>
    </row>
    <row r="12" spans="1:5" ht="16.5" customHeight="1" x14ac:dyDescent="0.3">
      <c r="A12" s="9"/>
      <c r="B12" s="9">
        <v>4</v>
      </c>
      <c r="C12" s="3">
        <v>0.53400000000000003</v>
      </c>
      <c r="D12" s="7">
        <v>0.53400000000000003</v>
      </c>
      <c r="E12" s="10"/>
    </row>
    <row r="13" spans="1:5" ht="16.5" customHeight="1" x14ac:dyDescent="0.3">
      <c r="A13" s="6"/>
      <c r="B13" s="6">
        <v>5</v>
      </c>
      <c r="C13" s="3">
        <v>0.59</v>
      </c>
      <c r="D13" s="7">
        <v>0.59</v>
      </c>
      <c r="E13" s="8"/>
    </row>
    <row r="14" spans="1:5" ht="16.5" customHeight="1" x14ac:dyDescent="0.3">
      <c r="A14" s="9"/>
      <c r="B14" s="9">
        <v>6</v>
      </c>
      <c r="C14" s="3">
        <v>1.2749999999999999</v>
      </c>
      <c r="D14" s="7">
        <v>0.88100000000000001</v>
      </c>
      <c r="E14" s="10"/>
    </row>
    <row r="15" spans="1:5" ht="16.5" customHeight="1" x14ac:dyDescent="0.3">
      <c r="A15" s="6"/>
      <c r="B15" s="6">
        <v>7</v>
      </c>
      <c r="C15" s="3">
        <v>0.3</v>
      </c>
      <c r="D15" s="7">
        <v>0.3</v>
      </c>
      <c r="E15" s="8"/>
    </row>
    <row r="16" spans="1:5" ht="16.5" customHeight="1" x14ac:dyDescent="0.3">
      <c r="A16" s="9"/>
      <c r="B16" s="9">
        <v>8</v>
      </c>
      <c r="C16" s="3"/>
      <c r="D16" s="7"/>
      <c r="E16" s="10"/>
    </row>
    <row r="17" spans="1:5" ht="16.5" customHeight="1" x14ac:dyDescent="0.3">
      <c r="A17" s="6"/>
      <c r="B17" s="6">
        <v>9</v>
      </c>
      <c r="C17" s="3"/>
      <c r="D17" s="7"/>
      <c r="E17" s="8"/>
    </row>
    <row r="18" spans="1:5" ht="16.5" customHeight="1" x14ac:dyDescent="0.3">
      <c r="A18" s="9"/>
      <c r="B18" s="9">
        <v>10</v>
      </c>
      <c r="C18" s="3"/>
      <c r="D18" s="7"/>
      <c r="E18" s="10"/>
    </row>
    <row r="19" spans="1:5" ht="16.5" customHeight="1" x14ac:dyDescent="0.3"/>
  </sheetData>
  <mergeCells count="5">
    <mergeCell ref="A4:E4"/>
    <mergeCell ref="C7:D7"/>
    <mergeCell ref="A2:E2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workbookViewId="0">
      <selection sqref="A1:I1"/>
    </sheetView>
  </sheetViews>
  <sheetFormatPr defaultRowHeight="14.4" x14ac:dyDescent="0.3"/>
  <cols>
    <col min="1" max="1" width="16" customWidth="1"/>
    <col min="2" max="2" width="36" customWidth="1"/>
    <col min="3" max="3" width="20" customWidth="1"/>
    <col min="4" max="4" width="16" customWidth="1"/>
    <col min="5" max="5" width="3" customWidth="1"/>
    <col min="6" max="6" width="16" customWidth="1"/>
    <col min="7" max="7" width="36" customWidth="1"/>
    <col min="8" max="8" width="20" customWidth="1"/>
    <col min="9" max="9" width="16" customWidth="1"/>
  </cols>
  <sheetData>
    <row r="1" spans="1:9" ht="28.05" customHeight="1" x14ac:dyDescent="0.3">
      <c r="A1" s="22" t="s">
        <v>10</v>
      </c>
      <c r="B1" s="23"/>
      <c r="C1" s="23"/>
      <c r="D1" s="23"/>
      <c r="E1" s="23"/>
      <c r="F1" s="23"/>
      <c r="G1" s="23"/>
      <c r="H1" s="23"/>
      <c r="I1" s="23"/>
    </row>
    <row r="2" spans="1:9" ht="22.05" customHeight="1" x14ac:dyDescent="0.3">
      <c r="A2" s="25" t="s">
        <v>11</v>
      </c>
      <c r="B2" s="23"/>
      <c r="C2" s="23"/>
      <c r="D2" s="23"/>
      <c r="F2" s="24" t="s">
        <v>12</v>
      </c>
      <c r="G2" s="23"/>
      <c r="H2" s="23"/>
      <c r="I2" s="23"/>
    </row>
    <row r="3" spans="1:9" ht="19.95" customHeight="1" x14ac:dyDescent="0.3">
      <c r="A3" s="4" t="s">
        <v>13</v>
      </c>
      <c r="B3" s="4" t="s">
        <v>14</v>
      </c>
      <c r="C3" s="4" t="s">
        <v>15</v>
      </c>
      <c r="D3" s="4" t="s">
        <v>16</v>
      </c>
      <c r="E3" s="11"/>
      <c r="F3" s="5" t="s">
        <v>13</v>
      </c>
      <c r="G3" s="5" t="s">
        <v>14</v>
      </c>
      <c r="H3" s="5" t="s">
        <v>15</v>
      </c>
      <c r="I3" s="5" t="s">
        <v>16</v>
      </c>
    </row>
    <row r="4" spans="1:9" ht="18" customHeight="1" x14ac:dyDescent="0.3">
      <c r="A4" s="12" t="str">
        <f>IF(1&gt;COUNTA(Input!$C$9:'Input'!$C$18),"—",IF(1=1,"L1 (Kicker)",IF(1=COUNTA(Input!$C$9:'Input'!$C$18),"L"&amp;1&amp;" (Top)","L"&amp;1&amp;" (Interior)")))</f>
        <v>L1 (Kicker)</v>
      </c>
      <c r="B4" s="13" t="str">
        <f>IF(1&gt;COUNTA(Input!$C$9:'Input'!$C$18),"—",IFERROR(IF(1=COUNTA(Input!$C$9:'Input'!$C$18),TEXT(Input!$C$9,"0.000")&amp;" / 2  =  "&amp;TEXT(Input!$C$9/2,"0.000"),"("&amp;TEXT(Input!$C$9/2,"0.000")&amp;"  +  "&amp;TEXT(Input!$C$10/2,"0.000")&amp;")  =  "&amp;TEXT(Input!$C$9/2+Input!$C$10/2,"0.000")),"—"))</f>
        <v>(0.150  +  0.276)  =  0.426</v>
      </c>
      <c r="C4" s="6">
        <f>IF(1&gt;COUNTA(Input!$C$9:'Input'!$C$18),"—",Input!$C$7)</f>
        <v>1.1759999999999999</v>
      </c>
      <c r="D4" s="14">
        <f>IF(1&gt;COUNTA(Input!$C$9:'Input'!$C$18),"—",IFERROR(ROUND((IF(1=COUNTA(Input!$C$9:'Input'!$C$18),Input!$C$9/2,Input!$C$9/2+Input!$C$10/2))*Input!$C$7,3),"—"))</f>
        <v>0.5</v>
      </c>
      <c r="E4" s="11"/>
      <c r="F4" s="12" t="str">
        <f>IF(1&gt;COUNTA(Input!$D$9:'Input'!$D$18),"—",IF(1=1,"L1 (Kicker)",IF(1=COUNTA(Input!$D$9:'Input'!$D$18),"L"&amp;1&amp;" (Top)","L"&amp;1&amp;" (Interior)")))</f>
        <v>L1 (Kicker)</v>
      </c>
      <c r="G4" s="15" t="str">
        <f>IF(1&gt;COUNTA(Input!$D$9:'Input'!$D$18),"—",IFERROR(IF(1=COUNTA(Input!$D$9:'Input'!$D$18),TEXT(Input!$D$9,"0.000")&amp;" / 2  =  "&amp;TEXT(Input!$D$9/2,"0.000"),"("&amp;TEXT(Input!$D$9/2,"0.000")&amp;"  +  "&amp;TEXT(Input!$D$10/2,"0.000")&amp;")  =  "&amp;TEXT(Input!$D$9/2+Input!$D$10/2,"0.000")),"—"))</f>
        <v>(0.150  +  0.276)  =  0.426</v>
      </c>
      <c r="H4" s="6">
        <f>IF(1&gt;COUNTA(Input!$D$9:'Input'!$D$18),"—",Input!$C$7)</f>
        <v>1.1759999999999999</v>
      </c>
      <c r="I4" s="16">
        <f>IF(1&gt;COUNTA(Input!$D$9:'Input'!$D$18),"—",IFERROR(ROUND((IF(1=COUNTA(Input!$D$9:'Input'!$D$18),Input!$D$9/2,Input!$D$9/2+Input!$D$10/2))*Input!$C$7,3),"—"))</f>
        <v>0.5</v>
      </c>
    </row>
    <row r="5" spans="1:9" ht="18" customHeight="1" x14ac:dyDescent="0.3">
      <c r="A5" s="17" t="str">
        <f>IF(2&gt;COUNTA(Input!$C$9:'Input'!$C$18),"—",IF(2=1,"L1 (Kicker)",IF(2=COUNTA(Input!$C$9:'Input'!$C$18),"L"&amp;2&amp;" (Top)","L"&amp;2&amp;" (Interior)")))</f>
        <v>L2 (Interior)</v>
      </c>
      <c r="B5" s="18" t="str">
        <f>IF(2&gt;COUNTA(Input!$C$9:'Input'!$C$18),"—",IFERROR(IF(2=COUNTA(Input!$C$9:'Input'!$C$18),TEXT(Input!$C$10,"0.000")&amp;" / 2  =  "&amp;TEXT(Input!$C$10/2,"0.000"),"("&amp;TEXT(Input!$C$10/2,"0.000")&amp;"  +  "&amp;TEXT(Input!$C$11/2,"0.000")&amp;")  =  "&amp;TEXT(Input!$C$10/2+Input!$C$11/2,"0.000")),"—"))</f>
        <v>(0.276  +  0.225)  =  0.501</v>
      </c>
      <c r="C5" s="9">
        <f>IF(2&gt;COUNTA(Input!$C$9:'Input'!$C$18),"—",Input!$C$7)</f>
        <v>1.1759999999999999</v>
      </c>
      <c r="D5" s="19">
        <f>IF(2&gt;COUNTA(Input!$C$9:'Input'!$C$18),"—",IFERROR(ROUND((IF(2=COUNTA(Input!$C$9:'Input'!$C$18),Input!$C$10/2,Input!$C$10/2+Input!$C$11/2))*Input!$C$7,3),"—"))</f>
        <v>0.58899999999999997</v>
      </c>
      <c r="E5" s="11"/>
      <c r="F5" s="17" t="str">
        <f>IF(2&gt;COUNTA(Input!$D$9:'Input'!$D$18),"—",IF(2=1,"L1 (Kicker)",IF(2=COUNTA(Input!$D$9:'Input'!$D$18),"L"&amp;2&amp;" (Top)","L"&amp;2&amp;" (Interior)")))</f>
        <v>L2 (Interior)</v>
      </c>
      <c r="G5" s="20" t="str">
        <f>IF(2&gt;COUNTA(Input!$D$9:'Input'!$D$18),"—",IFERROR(IF(2=COUNTA(Input!$D$9:'Input'!$D$18),TEXT(Input!$D$10,"0.000")&amp;" / 2  =  "&amp;TEXT(Input!$D$10/2,"0.000"),"("&amp;TEXT(Input!$D$10/2,"0.000")&amp;"  +  "&amp;TEXT(Input!$D$11/2,"0.000")&amp;")  =  "&amp;TEXT(Input!$D$10/2+Input!$D$11/2,"0.000")),"—"))</f>
        <v>(0.276  +  0.225)  =  0.501</v>
      </c>
      <c r="H5" s="9">
        <f>IF(2&gt;COUNTA(Input!$D$9:'Input'!$D$18),"—",Input!$C$7)</f>
        <v>1.1759999999999999</v>
      </c>
      <c r="I5" s="21">
        <f>IF(2&gt;COUNTA(Input!$D$9:'Input'!$D$18),"—",IFERROR(ROUND((IF(2=COUNTA(Input!$D$9:'Input'!$D$18),Input!$D$10/2,Input!$D$10/2+Input!$D$11/2))*Input!$C$7,3),"—"))</f>
        <v>0.58899999999999997</v>
      </c>
    </row>
    <row r="6" spans="1:9" ht="18" customHeight="1" x14ac:dyDescent="0.3">
      <c r="A6" s="12" t="str">
        <f>IF(3&gt;COUNTA(Input!$C$9:'Input'!$C$18),"—",IF(3=1,"L1 (Kicker)",IF(3=COUNTA(Input!$C$9:'Input'!$C$18),"L"&amp;3&amp;" (Top)","L"&amp;3&amp;" (Interior)")))</f>
        <v>L3 (Interior)</v>
      </c>
      <c r="B6" s="13" t="str">
        <f>IF(3&gt;COUNTA(Input!$C$9:'Input'!$C$18),"—",IFERROR(IF(3=COUNTA(Input!$C$9:'Input'!$C$18),TEXT(Input!$C$11,"0.000")&amp;" / 2  =  "&amp;TEXT(Input!$C$11/2,"0.000"),"("&amp;TEXT(Input!$C$11/2,"0.000")&amp;"  +  "&amp;TEXT(Input!$C$12/2,"0.000")&amp;")  =  "&amp;TEXT(Input!$C$11/2+Input!$C$12/2,"0.000")),"—"))</f>
        <v>(0.225  +  0.267)  =  0.492</v>
      </c>
      <c r="C6" s="6">
        <f>IF(3&gt;COUNTA(Input!$C$9:'Input'!$C$18),"—",Input!$C$7)</f>
        <v>1.1759999999999999</v>
      </c>
      <c r="D6" s="14">
        <f>IF(3&gt;COUNTA(Input!$C$9:'Input'!$C$18),"—",IFERROR(ROUND((IF(3=COUNTA(Input!$C$9:'Input'!$C$18),Input!$C$11/2,Input!$C$11/2+Input!$C$12/2))*Input!$C$7,3),"—"))</f>
        <v>0.57899999999999996</v>
      </c>
      <c r="E6" s="11"/>
      <c r="F6" s="12" t="str">
        <f>IF(3&gt;COUNTA(Input!$D$9:'Input'!$D$18),"—",IF(3=1,"L1 (Kicker)",IF(3=COUNTA(Input!$D$9:'Input'!$D$18),"L"&amp;3&amp;" (Top)","L"&amp;3&amp;" (Interior)")))</f>
        <v>L3 (Interior)</v>
      </c>
      <c r="G6" s="15" t="str">
        <f>IF(3&gt;COUNTA(Input!$D$9:'Input'!$D$18),"—",IFERROR(IF(3=COUNTA(Input!$D$9:'Input'!$D$18),TEXT(Input!$D$11,"0.000")&amp;" / 2  =  "&amp;TEXT(Input!$D$11/2,"0.000"),"("&amp;TEXT(Input!$D$11/2,"0.000")&amp;"  +  "&amp;TEXT(Input!$D$12/2,"0.000")&amp;")  =  "&amp;TEXT(Input!$D$11/2+Input!$D$12/2,"0.000")),"—"))</f>
        <v>(0.225  +  0.267)  =  0.492</v>
      </c>
      <c r="H6" s="6">
        <f>IF(3&gt;COUNTA(Input!$D$9:'Input'!$D$18),"—",Input!$C$7)</f>
        <v>1.1759999999999999</v>
      </c>
      <c r="I6" s="16">
        <f>IF(3&gt;COUNTA(Input!$D$9:'Input'!$D$18),"—",IFERROR(ROUND((IF(3=COUNTA(Input!$D$9:'Input'!$D$18),Input!$D$11/2,Input!$D$11/2+Input!$D$12/2))*Input!$C$7,3),"—"))</f>
        <v>0.57899999999999996</v>
      </c>
    </row>
    <row r="7" spans="1:9" ht="18" customHeight="1" x14ac:dyDescent="0.3">
      <c r="A7" s="17" t="str">
        <f>IF(4&gt;COUNTA(Input!$C$9:'Input'!$C$18),"—",IF(4=1,"L1 (Kicker)",IF(4=COUNTA(Input!$C$9:'Input'!$C$18),"L"&amp;4&amp;" (Top)","L"&amp;4&amp;" (Interior)")))</f>
        <v>L4 (Interior)</v>
      </c>
      <c r="B7" s="18" t="str">
        <f>IF(4&gt;COUNTA(Input!$C$9:'Input'!$C$18),"—",IFERROR(IF(4=COUNTA(Input!$C$9:'Input'!$C$18),TEXT(Input!$C$12,"0.000")&amp;" / 2  =  "&amp;TEXT(Input!$C$12/2,"0.000"),"("&amp;TEXT(Input!$C$12/2,"0.000")&amp;"  +  "&amp;TEXT(Input!$C$13/2,"0.000")&amp;")  =  "&amp;TEXT(Input!$C$12/2+Input!$C$13/2,"0.000")),"—"))</f>
        <v>(0.267  +  0.295)  =  0.562</v>
      </c>
      <c r="C7" s="9">
        <f>IF(4&gt;COUNTA(Input!$C$9:'Input'!$C$18),"—",Input!$C$7)</f>
        <v>1.1759999999999999</v>
      </c>
      <c r="D7" s="19">
        <f>IF(4&gt;COUNTA(Input!$C$9:'Input'!$C$18),"—",IFERROR(ROUND((IF(4=COUNTA(Input!$C$9:'Input'!$C$18),Input!$C$12/2,Input!$C$12/2+Input!$C$13/2))*Input!$C$7,3),"—"))</f>
        <v>0.66100000000000003</v>
      </c>
      <c r="E7" s="11"/>
      <c r="F7" s="17" t="str">
        <f>IF(4&gt;COUNTA(Input!$D$9:'Input'!$D$18),"—",IF(4=1,"L1 (Kicker)",IF(4=COUNTA(Input!$D$9:'Input'!$D$18),"L"&amp;4&amp;" (Top)","L"&amp;4&amp;" (Interior)")))</f>
        <v>L4 (Interior)</v>
      </c>
      <c r="G7" s="20" t="str">
        <f>IF(4&gt;COUNTA(Input!$D$9:'Input'!$D$18),"—",IFERROR(IF(4=COUNTA(Input!$D$9:'Input'!$D$18),TEXT(Input!$D$12,"0.000")&amp;" / 2  =  "&amp;TEXT(Input!$D$12/2,"0.000"),"("&amp;TEXT(Input!$D$12/2,"0.000")&amp;"  +  "&amp;TEXT(Input!$D$13/2,"0.000")&amp;")  =  "&amp;TEXT(Input!$D$12/2+Input!$D$13/2,"0.000")),"—"))</f>
        <v>(0.267  +  0.295)  =  0.562</v>
      </c>
      <c r="H7" s="9">
        <f>IF(4&gt;COUNTA(Input!$D$9:'Input'!$D$18),"—",Input!$C$7)</f>
        <v>1.1759999999999999</v>
      </c>
      <c r="I7" s="21">
        <f>IF(4&gt;COUNTA(Input!$D$9:'Input'!$D$18),"—",IFERROR(ROUND((IF(4=COUNTA(Input!$D$9:'Input'!$D$18),Input!$D$12/2,Input!$D$12/2+Input!$D$13/2))*Input!$C$7,3),"—"))</f>
        <v>0.66100000000000003</v>
      </c>
    </row>
    <row r="8" spans="1:9" ht="18" customHeight="1" x14ac:dyDescent="0.3">
      <c r="A8" s="12" t="str">
        <f>IF(5&gt;COUNTA(Input!$C$9:'Input'!$C$18),"—",IF(5=1,"L1 (Kicker)",IF(5=COUNTA(Input!$C$9:'Input'!$C$18),"L"&amp;5&amp;" (Top)","L"&amp;5&amp;" (Interior)")))</f>
        <v>L5 (Interior)</v>
      </c>
      <c r="B8" s="13" t="str">
        <f>IF(5&gt;COUNTA(Input!$C$9:'Input'!$C$18),"—",IFERROR(IF(5=COUNTA(Input!$C$9:'Input'!$C$18),TEXT(Input!$C$13,"0.000")&amp;" / 2  =  "&amp;TEXT(Input!$C$13/2,"0.000"),"("&amp;TEXT(Input!$C$13/2,"0.000")&amp;"  +  "&amp;TEXT(Input!$C$14/2,"0.000")&amp;")  =  "&amp;TEXT(Input!$C$13/2+Input!$C$14/2,"0.000")),"—"))</f>
        <v>(0.295  +  0.638)  =  0.933</v>
      </c>
      <c r="C8" s="6">
        <f>IF(5&gt;COUNTA(Input!$C$9:'Input'!$C$18),"—",Input!$C$7)</f>
        <v>1.1759999999999999</v>
      </c>
      <c r="D8" s="14">
        <f>IF(5&gt;COUNTA(Input!$C$9:'Input'!$C$18),"—",IFERROR(ROUND((IF(5=COUNTA(Input!$C$9:'Input'!$C$18),Input!$C$13/2,Input!$C$13/2+Input!$C$14/2))*Input!$C$7,3),"—"))</f>
        <v>1.097</v>
      </c>
      <c r="E8" s="11"/>
      <c r="F8" s="12" t="str">
        <f>IF(5&gt;COUNTA(Input!$D$9:'Input'!$D$18),"—",IF(5=1,"L1 (Kicker)",IF(5=COUNTA(Input!$D$9:'Input'!$D$18),"L"&amp;5&amp;" (Top)","L"&amp;5&amp;" (Interior)")))</f>
        <v>L5 (Interior)</v>
      </c>
      <c r="G8" s="15" t="str">
        <f>IF(5&gt;COUNTA(Input!$D$9:'Input'!$D$18),"—",IFERROR(IF(5=COUNTA(Input!$D$9:'Input'!$D$18),TEXT(Input!$D$13,"0.000")&amp;" / 2  =  "&amp;TEXT(Input!$D$13/2,"0.000"),"("&amp;TEXT(Input!$D$13/2,"0.000")&amp;"  +  "&amp;TEXT(Input!$D$14/2,"0.000")&amp;")  =  "&amp;TEXT(Input!$D$13/2+Input!$D$14/2,"0.000")),"—"))</f>
        <v>(0.295  +  0.441)  =  0.736</v>
      </c>
      <c r="H8" s="6">
        <f>IF(5&gt;COUNTA(Input!$D$9:'Input'!$D$18),"—",Input!$C$7)</f>
        <v>1.1759999999999999</v>
      </c>
      <c r="I8" s="16">
        <f>IF(5&gt;COUNTA(Input!$D$9:'Input'!$D$18),"—",IFERROR(ROUND((IF(5=COUNTA(Input!$D$9:'Input'!$D$18),Input!$D$13/2,Input!$D$13/2+Input!$D$14/2))*Input!$C$7,3),"—"))</f>
        <v>0.86499999999999999</v>
      </c>
    </row>
    <row r="9" spans="1:9" ht="18" customHeight="1" x14ac:dyDescent="0.3">
      <c r="A9" s="17" t="str">
        <f>IF(6&gt;COUNTA(Input!$C$9:'Input'!$C$18),"—",IF(6=1,"L1 (Kicker)",IF(6=COUNTA(Input!$C$9:'Input'!$C$18),"L"&amp;6&amp;" (Top)","L"&amp;6&amp;" (Interior)")))</f>
        <v>L6 (Interior)</v>
      </c>
      <c r="B9" s="18" t="str">
        <f>IF(6&gt;COUNTA(Input!$C$9:'Input'!$C$18),"—",IFERROR(IF(6=COUNTA(Input!$C$9:'Input'!$C$18),TEXT(Input!$C$14,"0.000")&amp;" / 2  =  "&amp;TEXT(Input!$C$14/2,"0.000"),"("&amp;TEXT(Input!$C$14/2,"0.000")&amp;"  +  "&amp;TEXT(Input!$C$15/2,"0.000")&amp;")  =  "&amp;TEXT(Input!$C$14/2+Input!$C$15/2,"0.000")),"—"))</f>
        <v>(0.638  +  0.150)  =  0.788</v>
      </c>
      <c r="C9" s="9">
        <f>IF(6&gt;COUNTA(Input!$C$9:'Input'!$C$18),"—",Input!$C$7)</f>
        <v>1.1759999999999999</v>
      </c>
      <c r="D9" s="19">
        <f>IF(6&gt;COUNTA(Input!$C$9:'Input'!$C$18),"—",IFERROR(ROUND((IF(6=COUNTA(Input!$C$9:'Input'!$C$18),Input!$C$14/2,Input!$C$14/2+Input!$C$15/2))*Input!$C$7,3),"—"))</f>
        <v>0.92600000000000005</v>
      </c>
      <c r="E9" s="11"/>
      <c r="F9" s="17" t="str">
        <f>IF(6&gt;COUNTA(Input!$D$9:'Input'!$D$18),"—",IF(6=1,"L1 (Kicker)",IF(6=COUNTA(Input!$D$9:'Input'!$D$18),"L"&amp;6&amp;" (Top)","L"&amp;6&amp;" (Interior)")))</f>
        <v>L6 (Interior)</v>
      </c>
      <c r="G9" s="20" t="str">
        <f>IF(6&gt;COUNTA(Input!$D$9:'Input'!$D$18),"—",IFERROR(IF(6=COUNTA(Input!$D$9:'Input'!$D$18),TEXT(Input!$D$14,"0.000")&amp;" / 2  =  "&amp;TEXT(Input!$D$14/2,"0.000"),"("&amp;TEXT(Input!$D$14/2,"0.000")&amp;"  +  "&amp;TEXT(Input!$D$15/2,"0.000")&amp;")  =  "&amp;TEXT(Input!$D$14/2+Input!$D$15/2,"0.000")),"—"))</f>
        <v>(0.441  +  0.150)  =  0.591</v>
      </c>
      <c r="H9" s="9">
        <f>IF(6&gt;COUNTA(Input!$D$9:'Input'!$D$18),"—",Input!$C$7)</f>
        <v>1.1759999999999999</v>
      </c>
      <c r="I9" s="21">
        <f>IF(6&gt;COUNTA(Input!$D$9:'Input'!$D$18),"—",IFERROR(ROUND((IF(6=COUNTA(Input!$D$9:'Input'!$D$18),Input!$D$14/2,Input!$D$14/2+Input!$D$15/2))*Input!$C$7,3),"—"))</f>
        <v>0.69399999999999995</v>
      </c>
    </row>
    <row r="10" spans="1:9" ht="18" customHeight="1" x14ac:dyDescent="0.3">
      <c r="A10" s="12" t="str">
        <f>IF(7&gt;COUNTA(Input!$C$9:'Input'!$C$18),"—",IF(7=1,"L1 (Kicker)",IF(7=COUNTA(Input!$C$9:'Input'!$C$18),"L"&amp;7&amp;" (Top)","L"&amp;7&amp;" (Interior)")))</f>
        <v>L7 (Top)</v>
      </c>
      <c r="B10" s="13" t="str">
        <f>IF(7&gt;COUNTA(Input!$C$9:'Input'!$C$18),"—",IFERROR(IF(7=COUNTA(Input!$C$9:'Input'!$C$18),TEXT(Input!$C$15,"0.000")&amp;" / 2  =  "&amp;TEXT(Input!$C$15/2,"0.000"),"("&amp;TEXT(Input!$C$15/2,"0.000")&amp;"  +  "&amp;TEXT(Input!$C$16/2,"0.000")&amp;")  =  "&amp;TEXT(Input!$C$15/2+Input!$C$16/2,"0.000")),"—"))</f>
        <v>0.300 / 2  =  0.150</v>
      </c>
      <c r="C10" s="6">
        <f>IF(7&gt;COUNTA(Input!$C$9:'Input'!$C$18),"—",Input!$C$7)</f>
        <v>1.1759999999999999</v>
      </c>
      <c r="D10" s="14">
        <f>IF(7&gt;COUNTA(Input!$C$9:'Input'!$C$18),"—",IFERROR(ROUND((IF(7=COUNTA(Input!$C$9:'Input'!$C$18),Input!$C$15/2,Input!$C$15/2+Input!$C$16/2))*Input!$C$7,3),"—"))</f>
        <v>0.17599999999999999</v>
      </c>
      <c r="E10" s="11"/>
      <c r="F10" s="12" t="str">
        <f>IF(7&gt;COUNTA(Input!$D$9:'Input'!$D$18),"—",IF(7=1,"L1 (Kicker)",IF(7=COUNTA(Input!$D$9:'Input'!$D$18),"L"&amp;7&amp;" (Top)","L"&amp;7&amp;" (Interior)")))</f>
        <v>L7 (Top)</v>
      </c>
      <c r="G10" s="15" t="str">
        <f>IF(7&gt;COUNTA(Input!$D$9:'Input'!$D$18),"—",IFERROR(IF(7=COUNTA(Input!$D$9:'Input'!$D$18),TEXT(Input!$D$15,"0.000")&amp;" / 2  =  "&amp;TEXT(Input!$D$15/2,"0.000"),"("&amp;TEXT(Input!$D$15/2,"0.000")&amp;"  +  "&amp;TEXT(Input!$D$16/2,"0.000")&amp;")  =  "&amp;TEXT(Input!$D$15/2+Input!$D$16/2,"0.000")),"—"))</f>
        <v>0.300 / 2  =  0.150</v>
      </c>
      <c r="H10" s="6">
        <f>IF(7&gt;COUNTA(Input!$D$9:'Input'!$D$18),"—",Input!$C$7)</f>
        <v>1.1759999999999999</v>
      </c>
      <c r="I10" s="16">
        <f>IF(7&gt;COUNTA(Input!$D$9:'Input'!$D$18),"—",IFERROR(ROUND((IF(7=COUNTA(Input!$D$9:'Input'!$D$18),Input!$D$15/2,Input!$D$15/2+Input!$D$16/2))*Input!$C$7,3),"—"))</f>
        <v>0.17599999999999999</v>
      </c>
    </row>
    <row r="11" spans="1:9" ht="18" customHeight="1" x14ac:dyDescent="0.3">
      <c r="A11" s="17" t="str">
        <f>IF(8&gt;COUNTA(Input!$C$9:'Input'!$C$18),"—",IF(8=1,"L1 (Kicker)",IF(8=COUNTA(Input!$C$9:'Input'!$C$18),"L"&amp;8&amp;" (Top)","L"&amp;8&amp;" (Interior)")))</f>
        <v>—</v>
      </c>
      <c r="B11" s="18" t="str">
        <f>IF(8&gt;COUNTA(Input!$C$9:'Input'!$C$18),"—",IFERROR(IF(8=COUNTA(Input!$C$9:'Input'!$C$18),TEXT(Input!$C$16,"0.000")&amp;" / 2  =  "&amp;TEXT(Input!$C$16/2,"0.000"),"("&amp;TEXT(Input!$C$16/2,"0.000")&amp;"  +  "&amp;TEXT(Input!$C$17/2,"0.000")&amp;")  =  "&amp;TEXT(Input!$C$16/2+Input!$C$17/2,"0.000")),"—"))</f>
        <v>—</v>
      </c>
      <c r="C11" s="9" t="str">
        <f>IF(8&gt;COUNTA(Input!$C$9:'Input'!$C$18),"—",Input!$C$7)</f>
        <v>—</v>
      </c>
      <c r="D11" s="19" t="str">
        <f>IF(8&gt;COUNTA(Input!$C$9:'Input'!$C$18),"—",IFERROR(ROUND((IF(8=COUNTA(Input!$C$9:'Input'!$C$18),Input!$C$16/2,Input!$C$16/2+Input!$C$17/2))*Input!$C$7,3),"—"))</f>
        <v>—</v>
      </c>
      <c r="E11" s="11"/>
      <c r="F11" s="17" t="str">
        <f>IF(8&gt;COUNTA(Input!$D$9:'Input'!$D$18),"—",IF(8=1,"L1 (Kicker)",IF(8=COUNTA(Input!$D$9:'Input'!$D$18),"L"&amp;8&amp;" (Top)","L"&amp;8&amp;" (Interior)")))</f>
        <v>—</v>
      </c>
      <c r="G11" s="20" t="str">
        <f>IF(8&gt;COUNTA(Input!$D$9:'Input'!$D$18),"—",IFERROR(IF(8=COUNTA(Input!$D$9:'Input'!$D$18),TEXT(Input!$D$16,"0.000")&amp;" / 2  =  "&amp;TEXT(Input!$D$16/2,"0.000"),"("&amp;TEXT(Input!$D$16/2,"0.000")&amp;"  +  "&amp;TEXT(Input!$D$17/2,"0.000")&amp;")  =  "&amp;TEXT(Input!$D$16/2+Input!$D$17/2,"0.000")),"—"))</f>
        <v>—</v>
      </c>
      <c r="H11" s="9" t="str">
        <f>IF(8&gt;COUNTA(Input!$D$9:'Input'!$D$18),"—",Input!$C$7)</f>
        <v>—</v>
      </c>
      <c r="I11" s="21" t="str">
        <f>IF(8&gt;COUNTA(Input!$D$9:'Input'!$D$18),"—",IFERROR(ROUND((IF(8=COUNTA(Input!$D$9:'Input'!$D$18),Input!$D$16/2,Input!$D$16/2+Input!$D$17/2))*Input!$C$7,3),"—"))</f>
        <v>—</v>
      </c>
    </row>
    <row r="12" spans="1:9" ht="18" customHeight="1" x14ac:dyDescent="0.3">
      <c r="A12" s="12" t="str">
        <f>IF(9&gt;COUNTA(Input!$C$9:'Input'!$C$18),"—",IF(9=1,"L1 (Kicker)",IF(9=COUNTA(Input!$C$9:'Input'!$C$18),"L"&amp;9&amp;" (Top)","L"&amp;9&amp;" (Interior)")))</f>
        <v>—</v>
      </c>
      <c r="B12" s="13" t="str">
        <f>IF(9&gt;COUNTA(Input!$C$9:'Input'!$C$18),"—",IFERROR(IF(9=COUNTA(Input!$C$9:'Input'!$C$18),TEXT(Input!$C$17,"0.000")&amp;" / 2  =  "&amp;TEXT(Input!$C$17/2,"0.000"),"("&amp;TEXT(Input!$C$17/2,"0.000")&amp;"  +  "&amp;TEXT(Input!$C$18/2,"0.000")&amp;")  =  "&amp;TEXT(Input!$C$17/2+Input!$C$18/2,"0.000")),"—"))</f>
        <v>—</v>
      </c>
      <c r="C12" s="6" t="str">
        <f>IF(9&gt;COUNTA(Input!$C$9:'Input'!$C$18),"—",Input!$C$7)</f>
        <v>—</v>
      </c>
      <c r="D12" s="14" t="str">
        <f>IF(9&gt;COUNTA(Input!$C$9:'Input'!$C$18),"—",IFERROR(ROUND((IF(9=COUNTA(Input!$C$9:'Input'!$C$18),Input!$C$17/2,Input!$C$17/2+Input!$C$18/2))*Input!$C$7,3),"—"))</f>
        <v>—</v>
      </c>
      <c r="E12" s="11"/>
      <c r="F12" s="12" t="str">
        <f>IF(9&gt;COUNTA(Input!$D$9:'Input'!$D$18),"—",IF(9=1,"L1 (Kicker)",IF(9=COUNTA(Input!$D$9:'Input'!$D$18),"L"&amp;9&amp;" (Top)","L"&amp;9&amp;" (Interior)")))</f>
        <v>—</v>
      </c>
      <c r="G12" s="15" t="str">
        <f>IF(9&gt;COUNTA(Input!$D$9:'Input'!$D$18),"—",IFERROR(IF(9=COUNTA(Input!$D$9:'Input'!$D$18),TEXT(Input!$D$17,"0.000")&amp;" / 2  =  "&amp;TEXT(Input!$D$17/2,"0.000"),"("&amp;TEXT(Input!$D$17/2,"0.000")&amp;"  +  "&amp;TEXT(Input!$D$18/2,"0.000")&amp;")  =  "&amp;TEXT(Input!$D$17/2+Input!$D$18/2,"0.000")),"—"))</f>
        <v>—</v>
      </c>
      <c r="H12" s="6" t="str">
        <f>IF(9&gt;COUNTA(Input!$D$9:'Input'!$D$18),"—",Input!$C$7)</f>
        <v>—</v>
      </c>
      <c r="I12" s="16" t="str">
        <f>IF(9&gt;COUNTA(Input!$D$9:'Input'!$D$18),"—",IFERROR(ROUND((IF(9=COUNTA(Input!$D$9:'Input'!$D$18),Input!$D$17/2,Input!$D$17/2+Input!$D$18/2))*Input!$C$7,3),"—"))</f>
        <v>—</v>
      </c>
    </row>
    <row r="13" spans="1:9" ht="18" customHeight="1" x14ac:dyDescent="0.3">
      <c r="A13" s="17" t="str">
        <f>IF(10&gt;COUNTA(Input!$C$9:'Input'!$C$18),"—",IF(10=1,"L1 (Kicker)",IF(10=COUNTA(Input!$C$9:'Input'!$C$18),"L"&amp;10&amp;" (Top)","L"&amp;10&amp;" (Interior)")))</f>
        <v>—</v>
      </c>
      <c r="B13" s="18" t="str">
        <f>IF(10&gt;COUNTA(Input!$C$9:'Input'!$C$18),"—",IFERROR(IF(10=COUNTA(Input!$C$9:'Input'!$C$18),TEXT(Input!$C$18,"0.000")&amp;" / 2  =  "&amp;TEXT(Input!$C$18/2,"0.000"),"("&amp;TEXT(Input!$C$18/2,"0.000")&amp;"  +  "&amp;TEXT(Input!$C$19/2,"0.000")&amp;")  =  "&amp;TEXT(Input!$C$18/2+Input!$C$19/2,"0.000")),"—"))</f>
        <v>—</v>
      </c>
      <c r="C13" s="9" t="str">
        <f>IF(10&gt;COUNTA(Input!$C$9:'Input'!$C$18),"—",Input!$C$7)</f>
        <v>—</v>
      </c>
      <c r="D13" s="19" t="str">
        <f>IF(10&gt;COUNTA(Input!$C$9:'Input'!$C$18),"—",IFERROR(ROUND((IF(10=COUNTA(Input!$C$9:'Input'!$C$18),Input!$C$18/2,Input!$C$18/2+Input!$C$19/2))*Input!$C$7,3),"—"))</f>
        <v>—</v>
      </c>
      <c r="E13" s="11"/>
      <c r="F13" s="17" t="str">
        <f>IF(10&gt;COUNTA(Input!$D$9:'Input'!$D$18),"—",IF(10=1,"L1 (Kicker)",IF(10=COUNTA(Input!$D$9:'Input'!$D$18),"L"&amp;10&amp;" (Top)","L"&amp;10&amp;" (Interior)")))</f>
        <v>—</v>
      </c>
      <c r="G13" s="20" t="str">
        <f>IF(10&gt;COUNTA(Input!$D$9:'Input'!$D$18),"—",IFERROR(IF(10=COUNTA(Input!$D$9:'Input'!$D$18),TEXT(Input!$D$18,"0.000")&amp;" / 2  =  "&amp;TEXT(Input!$D$18/2,"0.000"),"("&amp;TEXT(Input!$D$18/2,"0.000")&amp;"  +  "&amp;TEXT(Input!$D$19/2,"0.000")&amp;")  =  "&amp;TEXT(Input!$D$18/2+Input!$D$19/2,"0.000")),"—"))</f>
        <v>—</v>
      </c>
      <c r="H13" s="9" t="str">
        <f>IF(10&gt;COUNTA(Input!$D$9:'Input'!$D$18),"—",Input!$C$7)</f>
        <v>—</v>
      </c>
      <c r="I13" s="21" t="str">
        <f>IF(10&gt;COUNTA(Input!$D$9:'Input'!$D$18),"—",IFERROR(ROUND((IF(10=COUNTA(Input!$D$9:'Input'!$D$18),Input!$D$18/2,Input!$D$18/2+Input!$D$19/2))*Input!$C$7,3),"—"))</f>
        <v>—</v>
      </c>
    </row>
    <row r="14" spans="1:9" ht="18" customHeight="1" x14ac:dyDescent="0.3"/>
  </sheetData>
  <mergeCells count="3">
    <mergeCell ref="A1:I1"/>
    <mergeCell ref="F2:I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ifeanyi nnamani</cp:lastModifiedBy>
  <dcterms:created xsi:type="dcterms:W3CDTF">2026-06-12T12:21:49Z</dcterms:created>
  <dcterms:modified xsi:type="dcterms:W3CDTF">2026-06-28T20:46:42Z</dcterms:modified>
</cp:coreProperties>
</file>