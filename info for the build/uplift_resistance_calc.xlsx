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nama\Downloads\"/>
    </mc:Choice>
  </mc:AlternateContent>
  <xr:revisionPtr revIDLastSave="0" documentId="13_ncr:1_{3EBE2A98-99A2-4AD4-ADAB-DAED399189A1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Uplift Resistance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4" i="1" l="1"/>
  <c r="C16" i="1" s="1"/>
  <c r="B14" i="1"/>
  <c r="C13" i="1"/>
  <c r="C7" i="1"/>
  <c r="C9" i="1" s="1"/>
  <c r="B7" i="1"/>
  <c r="C17" i="1" l="1"/>
  <c r="C18" i="1" s="1"/>
  <c r="C19" i="1" s="1"/>
  <c r="A21" i="1" s="1"/>
  <c r="B17" i="1"/>
  <c r="B16" i="1"/>
  <c r="B9" i="1"/>
</calcChain>
</file>

<file path=xl/sharedStrings.xml><?xml version="1.0" encoding="utf-8"?>
<sst xmlns="http://schemas.openxmlformats.org/spreadsheetml/2006/main" count="30" uniqueCount="21">
  <si>
    <t xml:space="preserve">  UPLIFT RESISTANCE CALCULATION</t>
  </si>
  <si>
    <t xml:space="preserve">  BS EN 1991-1-4  |  Counterweight Design</t>
  </si>
  <si>
    <t>Parameter</t>
  </si>
  <si>
    <t>Value</t>
  </si>
  <si>
    <t>Unit</t>
  </si>
  <si>
    <t>Total Wind Uplift  (WLY)</t>
  </si>
  <si>
    <t>kN</t>
  </si>
  <si>
    <t>Total Scaffold Weight  (DL)</t>
  </si>
  <si>
    <t>Number of Anchorage Points</t>
  </si>
  <si>
    <t>—</t>
  </si>
  <si>
    <t>Concrete Block Length</t>
  </si>
  <si>
    <t>m</t>
  </si>
  <si>
    <t>Concrete Block Width</t>
  </si>
  <si>
    <t>Concrete Block Height</t>
  </si>
  <si>
    <t>Concrete Block Dimensions</t>
  </si>
  <si>
    <t>m³</t>
  </si>
  <si>
    <t>Unit Weight of Concrete</t>
  </si>
  <si>
    <t>kN/m³</t>
  </si>
  <si>
    <t>Blocks Provided per Point  [CEILING of Required]</t>
  </si>
  <si>
    <t>No.</t>
  </si>
  <si>
    <t>Total Blocks Provided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</si>
</sst>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1"/>
      <color rgb="FFFFFFFF"/>
      <name val="Calibri"/>
      <charset val="1"/>
    </font>
    <font>
      <sz val="11"/>
      <color rgb="FFA8C4E8"/>
      <name val="Calibri"/>
      <charset val="1"/>
    </font>
    <font>
      <sz val="11"/>
      <color rgb="FF595959"/>
      <name val="Calibri"/>
      <charset val="1"/>
    </font>
    <font>
      <sz val="11"/>
      <color rgb="FF000000"/>
      <name val="Calibri"/>
      <charset val="1"/>
    </font>
    <font>
      <b/>
      <sz val="11"/>
      <color rgb="FF0000FF"/>
      <name val="Calibri"/>
      <charset val="1"/>
    </font>
    <font>
      <b/>
      <sz val="11"/>
      <color rgb="FF000000"/>
      <name val="Calibri"/>
      <charset val="1"/>
    </font>
    <font>
      <b/>
      <sz val="11"/>
      <color rgb="FF1B3A6B"/>
      <name val="Calibri"/>
      <charset val="1"/>
    </font>
  </fonts>
  <fills count="9">
    <fill>
      <patternFill patternType="none"/>
    </fill>
    <fill>
      <patternFill patternType="gray125"/>
    </fill>
    <fill>
      <patternFill patternType="solid">
        <fgColor rgb="FF1B3A6B"/>
        <bgColor rgb="FF333333"/>
      </patternFill>
    </fill>
    <fill>
      <patternFill patternType="solid">
        <fgColor rgb="FF2F5496"/>
        <bgColor rgb="FF1B3A6B"/>
      </patternFill>
    </fill>
    <fill>
      <patternFill patternType="solid">
        <fgColor rgb="FFF2F2F2"/>
        <bgColor rgb="FFFFF9E6"/>
      </patternFill>
    </fill>
    <fill>
      <patternFill patternType="solid">
        <fgColor rgb="FFFFF2CC"/>
        <bgColor rgb="FFFFF9E6"/>
      </patternFill>
    </fill>
    <fill>
      <patternFill patternType="solid">
        <fgColor rgb="FFFFFFFF"/>
        <bgColor rgb="FFFFF9E6"/>
      </patternFill>
    </fill>
    <fill>
      <patternFill patternType="solid">
        <fgColor rgb="FFBDD7EE"/>
        <bgColor rgb="FFA8C4E8"/>
      </patternFill>
    </fill>
    <fill>
      <patternFill patternType="solid">
        <fgColor rgb="FFFFF9E6"/>
        <bgColor rgb="FFFFFFFF"/>
      </patternFill>
    </fill>
  </fills>
  <borders count="3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2F5496"/>
      </left>
      <right/>
      <top style="thin">
        <color rgb="FF2F5496"/>
      </top>
      <bottom style="thin">
        <color rgb="FF2F5496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7" fillId="8" borderId="2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0" fillId="3" borderId="1" xfId="0" applyFill="1" applyBorder="1"/>
    <xf numFmtId="0" fontId="1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right" vertical="center"/>
    </xf>
    <xf numFmtId="0" fontId="4" fillId="6" borderId="1" xfId="0" applyFont="1" applyFill="1" applyBorder="1" applyAlignment="1">
      <alignment horizontal="right" vertical="center"/>
    </xf>
    <xf numFmtId="0" fontId="6" fillId="4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9E6"/>
      <rgbColor rgb="FFF2F2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2CC"/>
      <rgbColor rgb="FFA8C4E8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6B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zoomScaleNormal="100" workbookViewId="0">
      <selection activeCell="E6" sqref="E6"/>
    </sheetView>
  </sheetViews>
  <sheetFormatPr defaultColWidth="8.6640625" defaultRowHeight="14.4" x14ac:dyDescent="0.3"/>
  <cols>
    <col min="1" max="1" width="4" customWidth="1"/>
    <col min="2" max="2" width="44" customWidth="1"/>
    <col min="3" max="3" width="18" customWidth="1"/>
    <col min="4" max="4" width="10" customWidth="1"/>
  </cols>
  <sheetData>
    <row r="1" spans="1:4" ht="31.5" customHeight="1" x14ac:dyDescent="0.3">
      <c r="A1" s="3" t="s">
        <v>0</v>
      </c>
      <c r="B1" s="3"/>
      <c r="C1" s="3"/>
      <c r="D1" s="3"/>
    </row>
    <row r="2" spans="1:4" ht="15.75" customHeight="1" x14ac:dyDescent="0.3">
      <c r="A2" s="2" t="s">
        <v>1</v>
      </c>
      <c r="B2" s="2"/>
      <c r="C2" s="2"/>
      <c r="D2" s="2"/>
    </row>
    <row r="3" spans="1:4" ht="7.5" customHeight="1" x14ac:dyDescent="0.3"/>
    <row r="4" spans="1:4" ht="24" customHeight="1" x14ac:dyDescent="0.3">
      <c r="A4" s="4"/>
      <c r="B4" s="5" t="s">
        <v>2</v>
      </c>
      <c r="C4" s="5" t="s">
        <v>3</v>
      </c>
      <c r="D4" s="5" t="s">
        <v>4</v>
      </c>
    </row>
    <row r="5" spans="1:4" ht="21.75" customHeight="1" x14ac:dyDescent="0.3">
      <c r="A5" s="6"/>
      <c r="B5" s="7" t="s">
        <v>5</v>
      </c>
      <c r="C5" s="8">
        <v>50</v>
      </c>
      <c r="D5" s="9" t="s">
        <v>6</v>
      </c>
    </row>
    <row r="6" spans="1:4" ht="21.75" customHeight="1" x14ac:dyDescent="0.3">
      <c r="A6" s="6"/>
      <c r="B6" s="7" t="s">
        <v>7</v>
      </c>
      <c r="C6" s="8">
        <v>1.1100000000000001</v>
      </c>
      <c r="D6" s="9" t="s">
        <v>6</v>
      </c>
    </row>
    <row r="7" spans="1:4" ht="24" customHeight="1" x14ac:dyDescent="0.3">
      <c r="A7" s="6"/>
      <c r="B7" s="10" t="str">
        <f>IFERROR("Counterweight Required  ("&amp;TEXT($C$5,"0.00")&amp;"  –  "&amp;TEXT($C$6,"0.00")&amp;")","Counterweight Required")</f>
        <v>Counterweight Required  (50.00  –  1.11)</v>
      </c>
      <c r="C7" s="11">
        <f>ROUND($C$5-$C$6,3)</f>
        <v>48.89</v>
      </c>
      <c r="D7" s="9" t="s">
        <v>6</v>
      </c>
    </row>
    <row r="8" spans="1:4" ht="21.75" customHeight="1" x14ac:dyDescent="0.3">
      <c r="A8" s="6"/>
      <c r="B8" s="7" t="s">
        <v>8</v>
      </c>
      <c r="C8" s="8">
        <v>4</v>
      </c>
      <c r="D8" s="9" t="s">
        <v>9</v>
      </c>
    </row>
    <row r="9" spans="1:4" ht="21.75" customHeight="1" x14ac:dyDescent="0.3">
      <c r="A9" s="6"/>
      <c r="B9" s="7" t="str">
        <f>IFERROR("Counterweight per Point  ("&amp;TEXT($C$7,"0.000")&amp;"  /  "&amp;TEXT($C$8,"0")&amp;")","Counterweight per Point")</f>
        <v>Counterweight per Point  (48.890  /  4)</v>
      </c>
      <c r="C9" s="12">
        <f>IFERROR(ROUND($C$7/$C$8,3),0)</f>
        <v>12.223000000000001</v>
      </c>
      <c r="D9" s="9" t="s">
        <v>6</v>
      </c>
    </row>
    <row r="10" spans="1:4" ht="21.75" customHeight="1" x14ac:dyDescent="0.3">
      <c r="A10" s="6"/>
      <c r="B10" s="7" t="s">
        <v>10</v>
      </c>
      <c r="C10" s="8">
        <v>0.6</v>
      </c>
      <c r="D10" s="9" t="s">
        <v>11</v>
      </c>
    </row>
    <row r="11" spans="1:4" ht="21.75" customHeight="1" x14ac:dyDescent="0.3">
      <c r="A11" s="6"/>
      <c r="B11" s="7" t="s">
        <v>12</v>
      </c>
      <c r="C11" s="8">
        <v>0.4</v>
      </c>
      <c r="D11" s="9" t="s">
        <v>11</v>
      </c>
    </row>
    <row r="12" spans="1:4" ht="21.75" customHeight="1" x14ac:dyDescent="0.3">
      <c r="A12" s="6"/>
      <c r="B12" s="7" t="s">
        <v>13</v>
      </c>
      <c r="C12" s="8">
        <v>0.3</v>
      </c>
      <c r="D12" s="9" t="s">
        <v>11</v>
      </c>
    </row>
    <row r="13" spans="1:4" ht="21.75" customHeight="1" x14ac:dyDescent="0.3">
      <c r="A13" s="6"/>
      <c r="B13" s="7" t="s">
        <v>14</v>
      </c>
      <c r="C13" s="12" t="str">
        <f>TEXT(C10,"0.000")&amp;"  ×  "&amp;TEXT(C11,"0.000")&amp;"  ×  "&amp;TEXT(C12,"0.000")</f>
        <v>0.600  ×  0.400  ×  0.300</v>
      </c>
      <c r="D13" s="9" t="s">
        <v>11</v>
      </c>
    </row>
    <row r="14" spans="1:4" ht="21.75" customHeight="1" x14ac:dyDescent="0.3">
      <c r="A14" s="6"/>
      <c r="B14" s="7" t="str">
        <f>IFERROR("Volume of Block  ("&amp;TEXT($C$10,"0.000")&amp;"  ×  "&amp;TEXT($C$11,"0.000")&amp;"  ×  "&amp;TEXT($C$12,"0.000")&amp;")","Volume of Block")</f>
        <v>Volume of Block  (0.600  ×  0.400  ×  0.300)</v>
      </c>
      <c r="C14" s="12">
        <f>ROUND($C$10*$C$11*$C$12,4)</f>
        <v>7.1999999999999995E-2</v>
      </c>
      <c r="D14" s="9" t="s">
        <v>15</v>
      </c>
    </row>
    <row r="15" spans="1:4" ht="21.75" customHeight="1" x14ac:dyDescent="0.3">
      <c r="A15" s="6"/>
      <c r="B15" s="7" t="s">
        <v>16</v>
      </c>
      <c r="C15" s="8">
        <v>24</v>
      </c>
      <c r="D15" s="9" t="s">
        <v>17</v>
      </c>
    </row>
    <row r="16" spans="1:4" ht="21.75" customHeight="1" x14ac:dyDescent="0.3">
      <c r="A16" s="6"/>
      <c r="B16" s="7" t="str">
        <f>IFERROR("Weight per Block  ("&amp;TEXT($C$15,"0")&amp;"  ×  "&amp;TEXT($C$14,"0.000")&amp;")","Weight per Block")</f>
        <v>Weight per Block  (24  ×  0.072)</v>
      </c>
      <c r="C16" s="12">
        <f>ROUND($C$15*$C$14,3)</f>
        <v>1.728</v>
      </c>
      <c r="D16" s="9" t="s">
        <v>6</v>
      </c>
    </row>
    <row r="17" spans="1:4" ht="21.75" customHeight="1" x14ac:dyDescent="0.3">
      <c r="A17" s="6"/>
      <c r="B17" s="7" t="str">
        <f>IFERROR("Blocks Required per Point  ("&amp;TEXT($C$9,"0.000")&amp;"  /  "&amp;TEXT($C$16,"0.000")&amp;")","Blocks Required per Point")</f>
        <v>Blocks Required per Point  (12.223  /  1.728)</v>
      </c>
      <c r="C17" s="12">
        <f>IFERROR(ROUND($C$9/$C$16,2),0)</f>
        <v>7.07</v>
      </c>
      <c r="D17" s="9" t="s">
        <v>9</v>
      </c>
    </row>
    <row r="18" spans="1:4" ht="21.75" customHeight="1" x14ac:dyDescent="0.3">
      <c r="A18" s="6"/>
      <c r="B18" s="13" t="s">
        <v>18</v>
      </c>
      <c r="C18" s="14">
        <f>CEILING(C17,1)</f>
        <v>8</v>
      </c>
      <c r="D18" s="9" t="s">
        <v>19</v>
      </c>
    </row>
    <row r="19" spans="1:4" ht="24" customHeight="1" x14ac:dyDescent="0.3">
      <c r="A19" s="6"/>
      <c r="B19" s="13" t="s">
        <v>20</v>
      </c>
      <c r="C19" s="14">
        <f>C18*C8</f>
        <v>32</v>
      </c>
      <c r="D19" s="9" t="s">
        <v>19</v>
      </c>
    </row>
    <row r="20" spans="1:4" ht="7.5" customHeight="1" x14ac:dyDescent="0.3"/>
    <row r="21" spans="1:4" ht="24" customHeight="1" x14ac:dyDescent="0.3">
      <c r="A21" s="1" t="str">
        <f>IFERROR("Provide  "&amp;TEXT(C19,"0")&amp;" No. concrete blocks"&amp;"  ("&amp;TEXT(C10,"0.0")&amp;" × "&amp;TEXT(C11,"0.0")&amp;" × "&amp;TEXT(C12,"0.0")&amp;"m)"&amp;",  "&amp;TEXT(C18,"0")&amp;" block(s) per anchorage point.","—")</f>
        <v>Provide  32 No. concrete blocks  (0.6 × 0.4 × 0.3m),  8 block(s) per anchorage point.</v>
      </c>
      <c r="B21" s="1"/>
      <c r="C21" s="1"/>
      <c r="D21" s="1"/>
    </row>
  </sheetData>
  <mergeCells count="3">
    <mergeCell ref="A1:D1"/>
    <mergeCell ref="A2:D2"/>
    <mergeCell ref="A21:D2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Uplift Resistance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ifeanyi nnamani</cp:lastModifiedBy>
  <cp:revision>0</cp:revision>
  <dcterms:created xsi:type="dcterms:W3CDTF">2026-05-17T05:05:03Z</dcterms:created>
  <dcterms:modified xsi:type="dcterms:W3CDTF">2026-05-17T05:24:56Z</dcterms:modified>
  <dc:language>en-US</dc:language>
</cp:coreProperties>
</file>