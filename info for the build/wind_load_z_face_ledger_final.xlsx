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nama\Desktop\WIND_LOAD\"/>
    </mc:Choice>
  </mc:AlternateContent>
  <xr:revisionPtr revIDLastSave="0" documentId="13_ncr:1_{72E71B59-25CB-4D0F-9ABF-357B02449BB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put" sheetId="1" r:id="rId1"/>
    <sheet name="Resul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2" l="1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</calcChain>
</file>

<file path=xl/sharedStrings.xml><?xml version="1.0" encoding="utf-8"?>
<sst xmlns="http://schemas.openxmlformats.org/spreadsheetml/2006/main" count="15" uniqueCount="15">
  <si>
    <t xml:space="preserve">  WIND LOAD — Z FACE LEDGER MEMBER LOAD CALCULATOR</t>
  </si>
  <si>
    <t xml:space="preserve">  BS EN 1991-1-4  |  Tributary Height Method  |  Z Face (long face)  |  Up to 10 lifts</t>
  </si>
  <si>
    <t>INSTRUCTIONS:  Enter lift heights in the BLUE cell(s) — each value is the SPACE between consecutive ledgers (bottom up). Lift 1 = floor to kicker. Lift 2 = kicker to L2, etc. Leave unused rows blank. n lifts = n ledger loads. Kicker (L1) carries half the space below (lift 1) + half above (lift 2).</t>
  </si>
  <si>
    <t xml:space="preserve">    WIND LOAD — Z FACE LEDGER MEMBER LOAD CALCULATOR</t>
  </si>
  <si>
    <t>BS EN 1991-1-4</t>
  </si>
  <si>
    <t>Design wind pressure   qw   (kN/m²)</t>
  </si>
  <si>
    <t>kN/m²</t>
  </si>
  <si>
    <t>Lift No.</t>
  </si>
  <si>
    <t>Lift Height (m)</t>
  </si>
  <si>
    <t xml:space="preserve">  WIND LOAD RESULTS — Z FACE LEDGER MEMBER LOADS</t>
  </si>
  <si>
    <t xml:space="preserve">  Z FACE — LEDGER MEMBER LOADS</t>
  </si>
  <si>
    <t>Ledger</t>
  </si>
  <si>
    <t>Tributary Height  (m)</t>
  </si>
  <si>
    <t>Wind Pressure  (kN/m²)</t>
  </si>
  <si>
    <t>Member Load  (kN/m)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</si>
</sst>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rgb="FFFFFFFF"/>
      <name val="Calibri"/>
      <charset val="1"/>
    </font>
    <font>
      <sz val="9"/>
      <color rgb="FFA8C4E8"/>
      <name val="Calibri"/>
      <charset val="1"/>
    </font>
    <font>
      <sz val="9"/>
      <color rgb="FF595959"/>
      <name val="Calibri"/>
      <charset val="1"/>
    </font>
    <font>
      <b/>
      <sz val="11"/>
      <color rgb="FFFFFFFF"/>
      <name val="Calibri"/>
      <charset val="1"/>
    </font>
    <font>
      <sz val="11"/>
      <color rgb="FF595959"/>
      <name val="Calibri"/>
      <charset val="1"/>
    </font>
    <font>
      <sz val="11"/>
      <color rgb="FF000000"/>
      <name val="Calibri"/>
      <charset val="1"/>
    </font>
    <font>
      <b/>
      <sz val="12"/>
      <color rgb="FF0000FF"/>
      <name val="Calibri"/>
      <charset val="1"/>
    </font>
    <font>
      <b/>
      <sz val="11"/>
      <color rgb="FF00000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33333"/>
      </patternFill>
    </fill>
    <fill>
      <patternFill patternType="solid">
        <fgColor rgb="FFFFF9E6"/>
        <bgColor rgb="FFFFFFFF"/>
      </patternFill>
    </fill>
    <fill>
      <patternFill patternType="solid">
        <fgColor rgb="FF2F5496"/>
        <bgColor rgb="FF1B3A6B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F9E6"/>
      </patternFill>
    </fill>
    <fill>
      <patternFill patternType="solid">
        <fgColor rgb="FFFFFFFF"/>
        <bgColor rgb="FFFFF9E6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A8C4E8"/>
      </patternFill>
    </fill>
    <fill>
      <patternFill patternType="solid">
        <fgColor rgb="FFC6EFCE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A8C4E8"/>
      <rgbColor rgb="FFFF99CC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6B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zoomScaleNormal="100" workbookViewId="0">
      <selection activeCell="E10" sqref="E10"/>
    </sheetView>
  </sheetViews>
  <sheetFormatPr defaultColWidth="8.6640625" defaultRowHeight="14.4" x14ac:dyDescent="0.3"/>
  <cols>
    <col min="1" max="1" width="20" customWidth="1"/>
    <col min="2" max="2" width="46" customWidth="1"/>
    <col min="3" max="3" width="16" customWidth="1"/>
    <col min="4" max="4" width="9" customWidth="1"/>
  </cols>
  <sheetData>
    <row r="1" spans="1:4" ht="31.5" customHeight="1" x14ac:dyDescent="0.3">
      <c r="A1" s="15" t="s">
        <v>0</v>
      </c>
      <c r="B1" s="15"/>
      <c r="C1" s="15"/>
      <c r="D1" s="15"/>
    </row>
    <row r="2" spans="1:4" ht="15.75" customHeight="1" x14ac:dyDescent="0.3">
      <c r="A2" s="17" t="s">
        <v>1</v>
      </c>
      <c r="B2" s="17"/>
      <c r="C2" s="17"/>
      <c r="D2" s="17"/>
    </row>
    <row r="3" spans="1:4" ht="6" customHeight="1" x14ac:dyDescent="0.3"/>
    <row r="4" spans="1:4" ht="42" customHeight="1" x14ac:dyDescent="0.3">
      <c r="A4" s="18" t="s">
        <v>2</v>
      </c>
      <c r="B4" s="18"/>
      <c r="C4" s="18"/>
      <c r="D4" s="18"/>
    </row>
    <row r="5" spans="1:4" ht="6" customHeight="1" x14ac:dyDescent="0.3"/>
    <row r="6" spans="1:4" ht="21.75" customHeight="1" x14ac:dyDescent="0.3">
      <c r="A6" s="16" t="s">
        <v>3</v>
      </c>
      <c r="B6" s="16"/>
      <c r="C6" s="16"/>
      <c r="D6" s="16"/>
    </row>
    <row r="7" spans="1:4" ht="18" customHeight="1" x14ac:dyDescent="0.3">
      <c r="A7" s="1" t="s">
        <v>4</v>
      </c>
      <c r="B7" s="2" t="s">
        <v>5</v>
      </c>
      <c r="C7" s="3">
        <v>1.1759999999999999</v>
      </c>
      <c r="D7" s="2" t="s">
        <v>6</v>
      </c>
    </row>
    <row r="8" spans="1:4" ht="18" customHeight="1" x14ac:dyDescent="0.3">
      <c r="A8" s="4"/>
      <c r="B8" s="4" t="s">
        <v>7</v>
      </c>
      <c r="C8" s="4" t="s">
        <v>8</v>
      </c>
      <c r="D8" s="4"/>
    </row>
    <row r="9" spans="1:4" ht="16.5" customHeight="1" x14ac:dyDescent="0.3">
      <c r="A9" s="5"/>
      <c r="B9" s="5">
        <v>1</v>
      </c>
      <c r="C9" s="3">
        <v>0.3</v>
      </c>
      <c r="D9" s="6"/>
    </row>
    <row r="10" spans="1:4" ht="16.5" customHeight="1" x14ac:dyDescent="0.3">
      <c r="A10" s="7"/>
      <c r="B10" s="7">
        <v>2</v>
      </c>
      <c r="C10" s="3">
        <v>0.55100000000000005</v>
      </c>
      <c r="D10" s="8"/>
    </row>
    <row r="11" spans="1:4" ht="16.5" customHeight="1" x14ac:dyDescent="0.3">
      <c r="A11" s="5"/>
      <c r="B11" s="5">
        <v>3</v>
      </c>
      <c r="C11" s="3">
        <v>0.45</v>
      </c>
      <c r="D11" s="6"/>
    </row>
    <row r="12" spans="1:4" ht="16.5" customHeight="1" x14ac:dyDescent="0.3">
      <c r="A12" s="7"/>
      <c r="B12" s="7">
        <v>4</v>
      </c>
      <c r="C12" s="3">
        <v>0.53400000000000003</v>
      </c>
      <c r="D12" s="8"/>
    </row>
    <row r="13" spans="1:4" ht="16.5" customHeight="1" x14ac:dyDescent="0.3">
      <c r="A13" s="5"/>
      <c r="B13" s="5">
        <v>5</v>
      </c>
      <c r="C13" s="3">
        <v>0.59</v>
      </c>
      <c r="D13" s="6"/>
    </row>
    <row r="14" spans="1:4" ht="16.5" customHeight="1" x14ac:dyDescent="0.3">
      <c r="A14" s="7"/>
      <c r="B14" s="7">
        <v>6</v>
      </c>
      <c r="C14" s="3">
        <v>1.2749999999999999</v>
      </c>
      <c r="D14" s="8"/>
    </row>
    <row r="15" spans="1:4" ht="16.5" customHeight="1" x14ac:dyDescent="0.3">
      <c r="A15" s="5"/>
      <c r="B15" s="5">
        <v>7</v>
      </c>
      <c r="C15" s="3">
        <v>0.3</v>
      </c>
      <c r="D15" s="6"/>
    </row>
    <row r="16" spans="1:4" ht="16.5" customHeight="1" x14ac:dyDescent="0.3">
      <c r="A16" s="7"/>
      <c r="B16" s="7">
        <v>8</v>
      </c>
      <c r="C16" s="3"/>
      <c r="D16" s="8"/>
    </row>
    <row r="17" spans="1:4" ht="16.5" customHeight="1" x14ac:dyDescent="0.3">
      <c r="A17" s="5"/>
      <c r="B17" s="5">
        <v>9</v>
      </c>
      <c r="C17" s="3"/>
      <c r="D17" s="6"/>
    </row>
    <row r="18" spans="1:4" ht="16.5" customHeight="1" x14ac:dyDescent="0.3">
      <c r="A18" s="7"/>
      <c r="B18" s="7">
        <v>10</v>
      </c>
      <c r="C18" s="3"/>
      <c r="D18" s="8"/>
    </row>
    <row r="19" spans="1:4" ht="16.5" customHeight="1" x14ac:dyDescent="0.3"/>
  </sheetData>
  <mergeCells count="4">
    <mergeCell ref="A1:D1"/>
    <mergeCell ref="A2:D2"/>
    <mergeCell ref="A4:D4"/>
    <mergeCell ref="A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zoomScaleNormal="100" workbookViewId="0">
      <selection sqref="A1:D1"/>
    </sheetView>
  </sheetViews>
  <sheetFormatPr defaultColWidth="8.6640625" defaultRowHeight="14.4" x14ac:dyDescent="0.3"/>
  <cols>
    <col min="1" max="1" width="20" customWidth="1"/>
    <col min="2" max="2" width="44" customWidth="1"/>
    <col min="3" max="3" width="22" customWidth="1"/>
    <col min="4" max="4" width="18" customWidth="1"/>
  </cols>
  <sheetData>
    <row r="1" spans="1:4" ht="27.75" customHeight="1" x14ac:dyDescent="0.3">
      <c r="A1" s="15" t="s">
        <v>9</v>
      </c>
      <c r="B1" s="15"/>
      <c r="C1" s="15"/>
      <c r="D1" s="15"/>
    </row>
    <row r="2" spans="1:4" ht="21.75" customHeight="1" x14ac:dyDescent="0.3">
      <c r="A2" s="16" t="s">
        <v>10</v>
      </c>
      <c r="B2" s="16"/>
      <c r="C2" s="16"/>
      <c r="D2" s="16"/>
    </row>
    <row r="3" spans="1:4" ht="19.5" customHeight="1" x14ac:dyDescent="0.3">
      <c r="A3" s="4" t="s">
        <v>11</v>
      </c>
      <c r="B3" s="4" t="s">
        <v>12</v>
      </c>
      <c r="C3" s="4" t="s">
        <v>13</v>
      </c>
      <c r="D3" s="4" t="s">
        <v>14</v>
      </c>
    </row>
    <row r="4" spans="1:4" ht="18" customHeight="1" x14ac:dyDescent="0.3">
      <c r="A4" s="9" t="str">
        <f>IF(1&gt;COUNTA(Input!$C$9:$C$18),"—",IF(1=1,"L1 (Kicker)",IF(1=COUNTA(Input!$C$9:$C$18),"L"&amp;1&amp;" (Top)","L"&amp;1&amp;" (Interior)")))</f>
        <v>L1 (Kicker)</v>
      </c>
      <c r="B4" s="10" t="str">
        <f>IF(1&gt;COUNTA(Input!$C$9:$C$18),"—",IFERROR(IF(1=COUNTA(Input!$C$9:$C$18),TEXT(Input!$C$9,"0.000")&amp;" / 2  =  "&amp;TEXT(Input!$C$9/2,"0.000"),"("&amp;TEXT(Input!$C$9/2,"0.000")&amp;"  +  "&amp;TEXT(Input!$C$10/2,"0.000")&amp;")  =  "&amp;TEXT(Input!$C$9/2+Input!$C$10/2,"0.000")),"—"))</f>
        <v>(0.150  +  0.276)  =  0.426</v>
      </c>
      <c r="C4" s="5">
        <f>IF(1&gt;COUNTA(Input!$C$9:$C$18),"—",Input!$C$7)</f>
        <v>1.1759999999999999</v>
      </c>
      <c r="D4" s="11">
        <f>IF(1&gt;COUNTA(Input!$C$9:$C$18),"—",IFERROR(ROUND((IF(1=COUNTA(Input!$C$9:$C$18),Input!$C$9/2,Input!$C$9/2+Input!$C$10/2))*Input!$C$7,3),"—"))</f>
        <v>0.5</v>
      </c>
    </row>
    <row r="5" spans="1:4" ht="18" customHeight="1" x14ac:dyDescent="0.3">
      <c r="A5" s="12" t="str">
        <f>IF(2&gt;COUNTA(Input!$C$9:$C$18),"—",IF(2=1,"L1 (Kicker)",IF(2=COUNTA(Input!$C$9:$C$18),"L"&amp;2&amp;" (Top)","L"&amp;2&amp;" (Interior)")))</f>
        <v>L2 (Interior)</v>
      </c>
      <c r="B5" s="13" t="str">
        <f>IF(2&gt;COUNTA(Input!$C$9:$C$18),"—",IFERROR(IF(2=COUNTA(Input!$C$9:$C$18),TEXT(Input!$C$10,"0.000")&amp;" / 2  =  "&amp;TEXT(Input!$C$10/2,"0.000"),"("&amp;TEXT(Input!$C$10/2,"0.000")&amp;"  +  "&amp;TEXT(Input!$C$11/2,"0.000")&amp;")  =  "&amp;TEXT(Input!$C$10/2+Input!$C$11/2,"0.000")),"—"))</f>
        <v>(0.276  +  0.225)  =  0.501</v>
      </c>
      <c r="C5" s="7">
        <f>IF(2&gt;COUNTA(Input!$C$9:$C$18),"—",Input!$C$7)</f>
        <v>1.1759999999999999</v>
      </c>
      <c r="D5" s="14">
        <f>IF(2&gt;COUNTA(Input!$C$9:$C$18),"—",IFERROR(ROUND((IF(2=COUNTA(Input!$C$9:$C$18),Input!$C$10/2,Input!$C$10/2+Input!$C$11/2))*Input!$C$7,3),"—"))</f>
        <v>0.58899999999999997</v>
      </c>
    </row>
    <row r="6" spans="1:4" ht="18" customHeight="1" x14ac:dyDescent="0.3">
      <c r="A6" s="9" t="str">
        <f>IF(3&gt;COUNTA(Input!$C$9:$C$18),"—",IF(3=1,"L1 (Kicker)",IF(3=COUNTA(Input!$C$9:$C$18),"L"&amp;3&amp;" (Top)","L"&amp;3&amp;" (Interior)")))</f>
        <v>L3 (Interior)</v>
      </c>
      <c r="B6" s="10" t="str">
        <f>IF(3&gt;COUNTA(Input!$C$9:$C$18),"—",IFERROR(IF(3=COUNTA(Input!$C$9:$C$18),TEXT(Input!$C$11,"0.000")&amp;" / 2  =  "&amp;TEXT(Input!$C$11/2,"0.000"),"("&amp;TEXT(Input!$C$11/2,"0.000")&amp;"  +  "&amp;TEXT(Input!$C$12/2,"0.000")&amp;")  =  "&amp;TEXT(Input!$C$11/2+Input!$C$12/2,"0.000")),"—"))</f>
        <v>(0.225  +  0.267)  =  0.492</v>
      </c>
      <c r="C6" s="5">
        <f>IF(3&gt;COUNTA(Input!$C$9:$C$18),"—",Input!$C$7)</f>
        <v>1.1759999999999999</v>
      </c>
      <c r="D6" s="11">
        <f>IF(3&gt;COUNTA(Input!$C$9:$C$18),"—",IFERROR(ROUND((IF(3=COUNTA(Input!$C$9:$C$18),Input!$C$11/2,Input!$C$11/2+Input!$C$12/2))*Input!$C$7,3),"—"))</f>
        <v>0.57899999999999996</v>
      </c>
    </row>
    <row r="7" spans="1:4" ht="18" customHeight="1" x14ac:dyDescent="0.3">
      <c r="A7" s="12" t="str">
        <f>IF(4&gt;COUNTA(Input!$C$9:$C$18),"—",IF(4=1,"L1 (Kicker)",IF(4=COUNTA(Input!$C$9:$C$18),"L"&amp;4&amp;" (Top)","L"&amp;4&amp;" (Interior)")))</f>
        <v>L4 (Interior)</v>
      </c>
      <c r="B7" s="13" t="str">
        <f>IF(4&gt;COUNTA(Input!$C$9:$C$18),"—",IFERROR(IF(4=COUNTA(Input!$C$9:$C$18),TEXT(Input!$C$12,"0.000")&amp;" / 2  =  "&amp;TEXT(Input!$C$12/2,"0.000"),"("&amp;TEXT(Input!$C$12/2,"0.000")&amp;"  +  "&amp;TEXT(Input!$C$13/2,"0.000")&amp;")  =  "&amp;TEXT(Input!$C$12/2+Input!$C$13/2,"0.000")),"—"))</f>
        <v>(0.267  +  0.295)  =  0.562</v>
      </c>
      <c r="C7" s="7">
        <f>IF(4&gt;COUNTA(Input!$C$9:$C$18),"—",Input!$C$7)</f>
        <v>1.1759999999999999</v>
      </c>
      <c r="D7" s="14">
        <f>IF(4&gt;COUNTA(Input!$C$9:$C$18),"—",IFERROR(ROUND((IF(4=COUNTA(Input!$C$9:$C$18),Input!$C$12/2,Input!$C$12/2+Input!$C$13/2))*Input!$C$7,3),"—"))</f>
        <v>0.66100000000000003</v>
      </c>
    </row>
    <row r="8" spans="1:4" ht="18" customHeight="1" x14ac:dyDescent="0.3">
      <c r="A8" s="9" t="str">
        <f>IF(5&gt;COUNTA(Input!$C$9:$C$18),"—",IF(5=1,"L1 (Kicker)",IF(5=COUNTA(Input!$C$9:$C$18),"L"&amp;5&amp;" (Top)","L"&amp;5&amp;" (Interior)")))</f>
        <v>L5 (Interior)</v>
      </c>
      <c r="B8" s="10" t="str">
        <f>IF(5&gt;COUNTA(Input!$C$9:$C$18),"—",IFERROR(IF(5=COUNTA(Input!$C$9:$C$18),TEXT(Input!$C$13,"0.000")&amp;" / 2  =  "&amp;TEXT(Input!$C$13/2,"0.000"),"("&amp;TEXT(Input!$C$13/2,"0.000")&amp;"  +  "&amp;TEXT(Input!$C$14/2,"0.000")&amp;")  =  "&amp;TEXT(Input!$C$13/2+Input!$C$14/2,"0.000")),"—"))</f>
        <v>(0.295  +  0.638)  =  0.933</v>
      </c>
      <c r="C8" s="5">
        <f>IF(5&gt;COUNTA(Input!$C$9:$C$18),"—",Input!$C$7)</f>
        <v>1.1759999999999999</v>
      </c>
      <c r="D8" s="11">
        <f>IF(5&gt;COUNTA(Input!$C$9:$C$18),"—",IFERROR(ROUND((IF(5=COUNTA(Input!$C$9:$C$18),Input!$C$13/2,Input!$C$13/2+Input!$C$14/2))*Input!$C$7,3),"—"))</f>
        <v>1.097</v>
      </c>
    </row>
    <row r="9" spans="1:4" ht="18" customHeight="1" x14ac:dyDescent="0.3">
      <c r="A9" s="12" t="str">
        <f>IF(6&gt;COUNTA(Input!$C$9:$C$18),"—",IF(6=1,"L1 (Kicker)",IF(6=COUNTA(Input!$C$9:$C$18),"L"&amp;6&amp;" (Top)","L"&amp;6&amp;" (Interior)")))</f>
        <v>L6 (Interior)</v>
      </c>
      <c r="B9" s="13" t="str">
        <f>IF(6&gt;COUNTA(Input!$C$9:$C$18),"—",IFERROR(IF(6=COUNTA(Input!$C$9:$C$18),TEXT(Input!$C$14,"0.000")&amp;" / 2  =  "&amp;TEXT(Input!$C$14/2,"0.000"),"("&amp;TEXT(Input!$C$14/2,"0.000")&amp;"  +  "&amp;TEXT(Input!$C$15/2,"0.000")&amp;")  =  "&amp;TEXT(Input!$C$14/2+Input!$C$15/2,"0.000")),"—"))</f>
        <v>(0.638  +  0.150)  =  0.788</v>
      </c>
      <c r="C9" s="7">
        <f>IF(6&gt;COUNTA(Input!$C$9:$C$18),"—",Input!$C$7)</f>
        <v>1.1759999999999999</v>
      </c>
      <c r="D9" s="14">
        <f>IF(6&gt;COUNTA(Input!$C$9:$C$18),"—",IFERROR(ROUND((IF(6=COUNTA(Input!$C$9:$C$18),Input!$C$14/2,Input!$C$14/2+Input!$C$15/2))*Input!$C$7,3),"—"))</f>
        <v>0.92600000000000005</v>
      </c>
    </row>
    <row r="10" spans="1:4" ht="18" customHeight="1" x14ac:dyDescent="0.3">
      <c r="A10" s="9" t="str">
        <f>IF(7&gt;COUNTA(Input!$C$9:$C$18),"—",IF(7=1,"L1 (Kicker)",IF(7=COUNTA(Input!$C$9:$C$18),"L"&amp;7&amp;" (Top)","L"&amp;7&amp;" (Interior)")))</f>
        <v>L7 (Top)</v>
      </c>
      <c r="B10" s="10" t="str">
        <f>IF(7&gt;COUNTA(Input!$C$9:$C$18),"—",IFERROR(IF(7=COUNTA(Input!$C$9:$C$18),TEXT(Input!$C$15,"0.000")&amp;" / 2  =  "&amp;TEXT(Input!$C$15/2,"0.000"),"("&amp;TEXT(Input!$C$15/2,"0.000")&amp;"  +  "&amp;TEXT(Input!$C$16/2,"0.000")&amp;")  =  "&amp;TEXT(Input!$C$15/2+Input!$C$16/2,"0.000")),"—"))</f>
        <v>0.300 / 2  =  0.150</v>
      </c>
      <c r="C10" s="5">
        <f>IF(7&gt;COUNTA(Input!$C$9:$C$18),"—",Input!$C$7)</f>
        <v>1.1759999999999999</v>
      </c>
      <c r="D10" s="11">
        <f>IF(7&gt;COUNTA(Input!$C$9:$C$18),"—",IFERROR(ROUND((IF(7=COUNTA(Input!$C$9:$C$18),Input!$C$15/2,Input!$C$15/2+Input!$C$16/2))*Input!$C$7,3),"—"))</f>
        <v>0.17599999999999999</v>
      </c>
    </row>
    <row r="11" spans="1:4" ht="18" customHeight="1" x14ac:dyDescent="0.3">
      <c r="A11" s="12" t="str">
        <f>IF(8&gt;COUNTA(Input!$C$9:$C$18),"—",IF(8=1,"L1 (Kicker)",IF(8=COUNTA(Input!$C$9:$C$18),"L"&amp;8&amp;" (Top)","L"&amp;8&amp;" (Interior)")))</f>
        <v>—</v>
      </c>
      <c r="B11" s="13" t="str">
        <f>IF(8&gt;COUNTA(Input!$C$9:$C$18),"—",IFERROR(IF(8=COUNTA(Input!$C$9:$C$18),TEXT(Input!$C$16,"0.000")&amp;" / 2  =  "&amp;TEXT(Input!$C$16/2,"0.000"),"("&amp;TEXT(Input!$C$16/2,"0.000")&amp;"  +  "&amp;TEXT(Input!$C$17/2,"0.000")&amp;")  =  "&amp;TEXT(Input!$C$16/2+Input!$C$17/2,"0.000")),"—"))</f>
        <v>—</v>
      </c>
      <c r="C11" s="7" t="str">
        <f>IF(8&gt;COUNTA(Input!$C$9:$C$18),"—",Input!$C$7)</f>
        <v>—</v>
      </c>
      <c r="D11" s="14" t="str">
        <f>IF(8&gt;COUNTA(Input!$C$9:$C$18),"—",IFERROR(ROUND((IF(8=COUNTA(Input!$C$9:$C$18),Input!$C$16/2,Input!$C$16/2+Input!$C$17/2))*Input!$C$7,3),"—"))</f>
        <v>—</v>
      </c>
    </row>
    <row r="12" spans="1:4" ht="18" customHeight="1" x14ac:dyDescent="0.3">
      <c r="A12" s="9" t="str">
        <f>IF(9&gt;COUNTA(Input!$C$9:$C$18),"—",IF(9=1,"L1 (Kicker)",IF(9=COUNTA(Input!$C$9:$C$18),"L"&amp;9&amp;" (Top)","L"&amp;9&amp;" (Interior)")))</f>
        <v>—</v>
      </c>
      <c r="B12" s="10" t="str">
        <f>IF(9&gt;COUNTA(Input!$C$9:$C$18),"—",IFERROR(IF(9=COUNTA(Input!$C$9:$C$18),TEXT(Input!$C$17,"0.000")&amp;" / 2  =  "&amp;TEXT(Input!$C$17/2,"0.000"),"("&amp;TEXT(Input!$C$17/2,"0.000")&amp;"  +  "&amp;TEXT(Input!$C$18/2,"0.000")&amp;")  =  "&amp;TEXT(Input!$C$17/2+Input!$C$18/2,"0.000")),"—"))</f>
        <v>—</v>
      </c>
      <c r="C12" s="5" t="str">
        <f>IF(9&gt;COUNTA(Input!$C$9:$C$18),"—",Input!$C$7)</f>
        <v>—</v>
      </c>
      <c r="D12" s="11" t="str">
        <f>IF(9&gt;COUNTA(Input!$C$9:$C$18),"—",IFERROR(ROUND((IF(9=COUNTA(Input!$C$9:$C$18),Input!$C$17/2,Input!$C$17/2+Input!$C$18/2))*Input!$C$7,3),"—"))</f>
        <v>—</v>
      </c>
    </row>
    <row r="13" spans="1:4" ht="18" customHeight="1" x14ac:dyDescent="0.3">
      <c r="A13" s="12" t="str">
        <f>IF(10&gt;COUNTA(Input!$C$9:$C$18),"—",IF(10=1,"L1 (Kicker)",IF(10=COUNTA(Input!$C$9:$C$18),"L"&amp;10&amp;" (Top)","L"&amp;10&amp;" (Interior)")))</f>
        <v>—</v>
      </c>
      <c r="B13" s="13" t="str">
        <f>IF(10&gt;COUNTA(Input!$C$9:$C$18),"—",IFERROR(IF(10=COUNTA(Input!$C$9:$C$18),TEXT(Input!$C$18,"0.000")&amp;" / 2  =  "&amp;TEXT(Input!$C$18/2,"0.000"),"("&amp;TEXT(Input!$C$18/2,"0.000")&amp;"  +  "&amp;TEXT(Input!$C$19/2,"0.000")&amp;")  =  "&amp;TEXT(Input!$C$18/2+Input!$C$19/2,"0.000")),"—"))</f>
        <v>—</v>
      </c>
      <c r="C13" s="7" t="str">
        <f>IF(10&gt;COUNTA(Input!$C$9:$C$18),"—",Input!$C$7)</f>
        <v>—</v>
      </c>
      <c r="D13" s="14" t="str">
        <f>IF(10&gt;COUNTA(Input!$C$9:$C$18),"—",IFERROR(ROUND((IF(10=COUNTA(Input!$C$9:$C$18),Input!$C$18/2,Input!$C$18/2+Input!$C$19/2))*Input!$C$7,3),"—"))</f>
        <v>—</v>
      </c>
    </row>
    <row r="14" spans="1:4" ht="18" customHeight="1" x14ac:dyDescent="0.3"/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ifeanyi nnamani</cp:lastModifiedBy>
  <cp:revision>0</cp:revision>
  <dcterms:created xsi:type="dcterms:W3CDTF">2026-06-12T12:21:49Z</dcterms:created>
  <dcterms:modified xsi:type="dcterms:W3CDTF">2026-06-28T20:46:50Z</dcterms:modified>
  <dc:language>en-US</dc:language>
</cp:coreProperties>
</file>